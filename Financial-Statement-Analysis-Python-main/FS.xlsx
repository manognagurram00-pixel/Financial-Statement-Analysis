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sm1234-my.sharepoint.com/personal/guntur_pushya_dsm-firmenich_com/Documents/Desktop/Financial statement analysis/"/>
    </mc:Choice>
  </mc:AlternateContent>
  <xr:revisionPtr revIDLastSave="4" documentId="8_{6F71E739-0282-46B4-AC3D-CFE64941783E}" xr6:coauthVersionLast="47" xr6:coauthVersionMax="47" xr10:uidLastSave="{D871550C-F8B9-4D46-9261-927D490414AB}"/>
  <bookViews>
    <workbookView xWindow="-108" yWindow="-108" windowWidth="23256" windowHeight="12456" xr2:uid="{1C5E6952-8468-4A50-AB3A-0BC0C7007DCD}"/>
  </bookViews>
  <sheets>
    <sheet name="Data Sheet" sheetId="1" r:id="rId1"/>
  </sheets>
  <definedNames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E1" i="1"/>
</calcChain>
</file>

<file path=xl/sharedStrings.xml><?xml version="1.0" encoding="utf-8"?>
<sst xmlns="http://schemas.openxmlformats.org/spreadsheetml/2006/main" count="64" uniqueCount="53">
  <si>
    <t>COMPANY NAME</t>
  </si>
  <si>
    <t>ITC LTD</t>
  </si>
  <si>
    <t>LATEST VERSION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</si>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</sst>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43" fontId="3" fillId="0" borderId="0" xfId="1" applyFont="1" applyBorder="1"/>
    <xf numFmtId="43" fontId="0" fillId="0" borderId="0" xfId="1" applyFont="1" applyBorder="1"/>
    <xf numFmtId="165" fontId="2" fillId="3" borderId="0" xfId="1" applyNumberFormat="1" applyFont="1" applyFill="1" applyBorder="1"/>
    <xf numFmtId="165" fontId="2" fillId="3" borderId="0" xfId="0" applyNumberFormat="1" applyFont="1" applyFill="1" applyAlignment="1">
      <alignment horizontal="center"/>
    </xf>
    <xf numFmtId="165" fontId="6" fillId="0" borderId="0" xfId="1" applyNumberFormat="1" applyFont="1" applyFill="1" applyBorder="1"/>
    <xf numFmtId="43" fontId="1" fillId="0" borderId="0" xfId="1" applyFont="1" applyBorder="1"/>
    <xf numFmtId="164" fontId="0" fillId="0" borderId="0" xfId="1" applyNumberFormat="1" applyFont="1" applyBorder="1"/>
    <xf numFmtId="43" fontId="5" fillId="0" borderId="0" xfId="3" applyNumberFormat="1" applyBorder="1" applyAlignment="1" applyProtection="1">
      <alignment horizontal="center"/>
    </xf>
    <xf numFmtId="43" fontId="2" fillId="0" borderId="0" xfId="2" applyNumberFormat="1" applyFont="1" applyFill="1" applyBorder="1" applyAlignment="1">
      <alignment horizontal="center"/>
    </xf>
  </cellXfs>
  <cellStyles count="4">
    <cellStyle name="Accent6" xfId="2" builtinId="49"/>
    <cellStyle name="Comma" xfId="1" builtinId="3"/>
    <cellStyle name="Hyperlink" xfId="3" builtinId="8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ACBF-C6F8-4A6E-BB2F-B213CDD43A2F}">
  <dimension ref="A1:K93"/>
  <sheetViews>
    <sheetView tabSelected="1" zoomScale="71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C90" sqref="C90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1</v>
      </c>
      <c r="E1" s="8" t="str">
        <f>IF(B2&lt;&gt;B3, "A NEW VERSION OF THE WORKSHEET IS AVAILABLE", "")</f>
        <v/>
      </c>
      <c r="F1" s="8"/>
      <c r="G1" s="8"/>
      <c r="H1" s="8"/>
      <c r="I1" s="8"/>
      <c r="J1" s="8"/>
      <c r="K1" s="8"/>
    </row>
    <row r="2" spans="1:11" x14ac:dyDescent="0.3">
      <c r="A2" s="1" t="s">
        <v>2</v>
      </c>
      <c r="B2" s="2">
        <v>2.1</v>
      </c>
      <c r="E2" s="9"/>
      <c r="F2" s="9"/>
      <c r="G2" s="9"/>
      <c r="H2" s="9"/>
      <c r="I2" s="9"/>
      <c r="J2" s="9"/>
      <c r="K2" s="9"/>
    </row>
    <row r="3" spans="1:11" x14ac:dyDescent="0.3">
      <c r="A3" s="1" t="s">
        <v>3</v>
      </c>
      <c r="B3" s="2">
        <v>2.1</v>
      </c>
    </row>
    <row r="4" spans="1:11" x14ac:dyDescent="0.3">
      <c r="A4" s="1"/>
    </row>
    <row r="5" spans="1:11" x14ac:dyDescent="0.3">
      <c r="A5" s="1" t="s">
        <v>4</v>
      </c>
    </row>
    <row r="6" spans="1:11" x14ac:dyDescent="0.3">
      <c r="A6" s="2" t="s">
        <v>5</v>
      </c>
      <c r="B6" s="2">
        <f>IF(B9&gt;0, B9/B8, 0)</f>
        <v>1253.1595383347073</v>
      </c>
    </row>
    <row r="7" spans="1:11" x14ac:dyDescent="0.3">
      <c r="A7" s="2" t="s">
        <v>6</v>
      </c>
      <c r="B7">
        <v>1</v>
      </c>
    </row>
    <row r="8" spans="1:11" x14ac:dyDescent="0.3">
      <c r="A8" s="2" t="s">
        <v>7</v>
      </c>
      <c r="B8">
        <v>303.25</v>
      </c>
    </row>
    <row r="9" spans="1:11" x14ac:dyDescent="0.3">
      <c r="A9" s="2" t="s">
        <v>8</v>
      </c>
      <c r="B9">
        <v>380020.63</v>
      </c>
    </row>
    <row r="15" spans="1:11" x14ac:dyDescent="0.3">
      <c r="A15" s="1" t="s">
        <v>9</v>
      </c>
    </row>
    <row r="16" spans="1:11" s="5" customFormat="1" x14ac:dyDescent="0.3">
      <c r="A16" s="3" t="s">
        <v>10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3">
      <c r="A17" s="6" t="s">
        <v>11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6" customFormat="1" x14ac:dyDescent="0.3">
      <c r="A18" s="2" t="s">
        <v>12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6" customFormat="1" x14ac:dyDescent="0.3">
      <c r="A19" s="2" t="s">
        <v>13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6" customFormat="1" x14ac:dyDescent="0.3">
      <c r="A20" s="2" t="s">
        <v>14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6" customFormat="1" x14ac:dyDescent="0.3">
      <c r="A21" s="2" t="s">
        <v>15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6" customFormat="1" x14ac:dyDescent="0.3">
      <c r="A22" s="2" t="s">
        <v>16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6" customFormat="1" x14ac:dyDescent="0.3">
      <c r="A23" s="2" t="s">
        <v>17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6" customFormat="1" x14ac:dyDescent="0.3">
      <c r="A24" s="2" t="s">
        <v>18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6" customFormat="1" x14ac:dyDescent="0.3">
      <c r="A25" s="6" t="s">
        <v>19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6" customFormat="1" x14ac:dyDescent="0.3">
      <c r="A26" s="6" t="s">
        <v>20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6" customFormat="1" x14ac:dyDescent="0.3">
      <c r="A27" s="6" t="s">
        <v>21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6" customFormat="1" x14ac:dyDescent="0.3">
      <c r="A28" s="6" t="s">
        <v>22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6" customFormat="1" x14ac:dyDescent="0.3">
      <c r="A29" s="6" t="s">
        <v>23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6" customFormat="1" x14ac:dyDescent="0.3">
      <c r="A30" s="6" t="s">
        <v>24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6" customFormat="1" x14ac:dyDescent="0.3">
      <c r="A31" s="6" t="s">
        <v>25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26</v>
      </c>
    </row>
    <row r="41" spans="1:11" s="5" customFormat="1" x14ac:dyDescent="0.3">
      <c r="A41" s="3" t="s">
        <v>10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6" customFormat="1" x14ac:dyDescent="0.3">
      <c r="A42" s="6" t="s">
        <v>11</v>
      </c>
      <c r="B42">
        <v>17774.47</v>
      </c>
      <c r="C42">
        <v>17195.240000000002</v>
      </c>
      <c r="D42">
        <v>17037.8</v>
      </c>
      <c r="E42">
        <v>17777.810000000001</v>
      </c>
      <c r="F42">
        <v>19990.36</v>
      </c>
      <c r="G42">
        <v>18790.169999999998</v>
      </c>
      <c r="H42">
        <v>18765</v>
      </c>
      <c r="I42">
        <v>21494.79</v>
      </c>
      <c r="J42">
        <v>19501.63</v>
      </c>
      <c r="K42">
        <v>20047.3</v>
      </c>
    </row>
    <row r="43" spans="1:11" s="6" customFormat="1" x14ac:dyDescent="0.3">
      <c r="A43" s="6" t="s">
        <v>27</v>
      </c>
      <c r="B43">
        <v>11320.23</v>
      </c>
      <c r="C43">
        <v>10985.01</v>
      </c>
      <c r="D43">
        <v>10735.73</v>
      </c>
      <c r="E43">
        <v>11232.97</v>
      </c>
      <c r="F43">
        <v>13438.28</v>
      </c>
      <c r="G43">
        <v>12428.27</v>
      </c>
      <c r="H43">
        <v>12245.61</v>
      </c>
      <c r="I43">
        <v>14678.32</v>
      </c>
      <c r="J43">
        <v>12806.94</v>
      </c>
      <c r="K43">
        <v>13164.78</v>
      </c>
    </row>
    <row r="44" spans="1:11" s="6" customFormat="1" x14ac:dyDescent="0.3">
      <c r="A44" s="6" t="s">
        <v>19</v>
      </c>
      <c r="B44">
        <v>673.5</v>
      </c>
      <c r="C44">
        <v>820.26</v>
      </c>
      <c r="D44">
        <v>868</v>
      </c>
      <c r="E44">
        <v>771.13</v>
      </c>
      <c r="F44">
        <v>690.31</v>
      </c>
      <c r="G44">
        <v>803.4</v>
      </c>
      <c r="H44">
        <v>15391.28</v>
      </c>
      <c r="I44">
        <v>750.97</v>
      </c>
      <c r="J44">
        <v>738.84</v>
      </c>
      <c r="K44">
        <v>321.85000000000002</v>
      </c>
    </row>
    <row r="45" spans="1:11" s="6" customFormat="1" x14ac:dyDescent="0.3">
      <c r="A45" s="6" t="s">
        <v>20</v>
      </c>
      <c r="B45">
        <v>453.04</v>
      </c>
      <c r="C45">
        <v>384.04</v>
      </c>
      <c r="D45">
        <v>385.09</v>
      </c>
      <c r="E45">
        <v>403.13</v>
      </c>
      <c r="F45">
        <v>416.18</v>
      </c>
      <c r="G45">
        <v>415.98</v>
      </c>
      <c r="H45">
        <v>411.03</v>
      </c>
      <c r="I45">
        <v>422.96</v>
      </c>
      <c r="J45">
        <v>434.8</v>
      </c>
      <c r="K45">
        <v>430.82</v>
      </c>
    </row>
    <row r="46" spans="1:11" s="6" customFormat="1" x14ac:dyDescent="0.3">
      <c r="A46" s="6" t="s">
        <v>21</v>
      </c>
      <c r="B46">
        <v>9.8699999999999992</v>
      </c>
      <c r="C46">
        <v>11.94</v>
      </c>
      <c r="D46">
        <v>10.72</v>
      </c>
      <c r="E46">
        <v>9.6</v>
      </c>
      <c r="F46">
        <v>14.73</v>
      </c>
      <c r="G46">
        <v>9.82</v>
      </c>
      <c r="H46">
        <v>10.91</v>
      </c>
      <c r="I46">
        <v>16.47</v>
      </c>
      <c r="J46">
        <v>20.05</v>
      </c>
      <c r="K46">
        <v>19.47</v>
      </c>
    </row>
    <row r="47" spans="1:11" s="6" customFormat="1" x14ac:dyDescent="0.3">
      <c r="A47" s="6" t="s">
        <v>22</v>
      </c>
      <c r="B47">
        <v>6664.83</v>
      </c>
      <c r="C47">
        <v>6634.51</v>
      </c>
      <c r="D47">
        <v>6774.26</v>
      </c>
      <c r="E47">
        <v>6903.24</v>
      </c>
      <c r="F47">
        <v>6811.48</v>
      </c>
      <c r="G47">
        <v>6739.5</v>
      </c>
      <c r="H47">
        <v>21488.73</v>
      </c>
      <c r="I47">
        <v>7128.01</v>
      </c>
      <c r="J47">
        <v>6978.68</v>
      </c>
      <c r="K47">
        <v>6754.08</v>
      </c>
    </row>
    <row r="48" spans="1:11" s="6" customFormat="1" x14ac:dyDescent="0.3">
      <c r="A48" s="6" t="s">
        <v>23</v>
      </c>
      <c r="B48">
        <v>1700.31</v>
      </c>
      <c r="C48">
        <v>1227.99</v>
      </c>
      <c r="D48">
        <v>1583.55</v>
      </c>
      <c r="E48">
        <v>1726.25</v>
      </c>
      <c r="F48">
        <v>1757.05</v>
      </c>
      <c r="G48">
        <v>1726.32</v>
      </c>
      <c r="H48">
        <v>1680.85</v>
      </c>
      <c r="I48">
        <v>1784.6</v>
      </c>
      <c r="J48">
        <v>1792.13</v>
      </c>
      <c r="K48">
        <v>1735.63</v>
      </c>
    </row>
    <row r="49" spans="1:11" s="6" customFormat="1" x14ac:dyDescent="0.3">
      <c r="A49" s="6" t="s">
        <v>24</v>
      </c>
      <c r="B49">
        <v>4898.07</v>
      </c>
      <c r="C49">
        <v>5335.23</v>
      </c>
      <c r="D49">
        <v>5120.55</v>
      </c>
      <c r="E49">
        <v>5091.59</v>
      </c>
      <c r="F49">
        <v>4992.87</v>
      </c>
      <c r="G49">
        <v>4934.8</v>
      </c>
      <c r="H49">
        <v>19727.37</v>
      </c>
      <c r="I49">
        <v>5244.2</v>
      </c>
      <c r="J49">
        <v>5126.1099999999997</v>
      </c>
      <c r="K49">
        <v>4931.1899999999996</v>
      </c>
    </row>
    <row r="50" spans="1:11" x14ac:dyDescent="0.3">
      <c r="A50" s="6" t="s">
        <v>28</v>
      </c>
      <c r="B50">
        <v>6454.24</v>
      </c>
      <c r="C50">
        <v>6210.23</v>
      </c>
      <c r="D50">
        <v>6302.07</v>
      </c>
      <c r="E50">
        <v>6544.84</v>
      </c>
      <c r="F50">
        <v>6552.08</v>
      </c>
      <c r="G50">
        <v>6361.9</v>
      </c>
      <c r="H50">
        <v>6519.39</v>
      </c>
      <c r="I50">
        <v>6816.47</v>
      </c>
      <c r="J50">
        <v>6694.69</v>
      </c>
      <c r="K50">
        <v>6882.52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29</v>
      </c>
    </row>
    <row r="56" spans="1:11" s="5" customFormat="1" x14ac:dyDescent="0.3">
      <c r="A56" s="3" t="s">
        <v>10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">
      <c r="A57" s="6" t="s">
        <v>30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 x14ac:dyDescent="0.3">
      <c r="A58" s="6" t="s">
        <v>31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 x14ac:dyDescent="0.3">
      <c r="A59" s="6" t="s">
        <v>32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 x14ac:dyDescent="0.3">
      <c r="A60" s="6" t="s">
        <v>33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 x14ac:dyDescent="0.3">
      <c r="A61" s="1" t="s">
        <v>34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 x14ac:dyDescent="0.3">
      <c r="A62" s="6" t="s">
        <v>35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 x14ac:dyDescent="0.3">
      <c r="A63" s="6" t="s">
        <v>36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 x14ac:dyDescent="0.3">
      <c r="A64" s="6" t="s">
        <v>37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 x14ac:dyDescent="0.3">
      <c r="A65" s="6" t="s">
        <v>38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 x14ac:dyDescent="0.3">
      <c r="A66" s="1" t="s">
        <v>34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 x14ac:dyDescent="0.3">
      <c r="A67" s="6" t="s">
        <v>39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 x14ac:dyDescent="0.3">
      <c r="A68" s="6" t="s">
        <v>40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 x14ac:dyDescent="0.3">
      <c r="A69" s="2" t="s">
        <v>41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 x14ac:dyDescent="0.3">
      <c r="A70" s="2" t="s">
        <v>42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 x14ac:dyDescent="0.3">
      <c r="A71" s="2" t="s">
        <v>43</v>
      </c>
      <c r="C71">
        <v>4026657100</v>
      </c>
    </row>
    <row r="72" spans="1:11" x14ac:dyDescent="0.3">
      <c r="A72" s="2" t="s">
        <v>44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45</v>
      </c>
    </row>
    <row r="81" spans="1:11" s="5" customFormat="1" x14ac:dyDescent="0.3">
      <c r="A81" s="3" t="s">
        <v>10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">
      <c r="A82" s="6" t="s">
        <v>46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 x14ac:dyDescent="0.3">
      <c r="A83" s="6" t="s">
        <v>47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 x14ac:dyDescent="0.3">
      <c r="A84" s="6" t="s">
        <v>48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 x14ac:dyDescent="0.3">
      <c r="A85" s="6" t="s">
        <v>49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50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 x14ac:dyDescent="0.3">
      <c r="A92" s="1" t="s">
        <v>51</v>
      </c>
    </row>
    <row r="93" spans="1:11" x14ac:dyDescent="0.3">
      <c r="A93" s="2" t="s">
        <v>52</v>
      </c>
      <c r="B93" s="7">
        <v>1207.08</v>
      </c>
      <c r="C93" s="7">
        <v>1214.74</v>
      </c>
      <c r="D93" s="7">
        <v>1220.43</v>
      </c>
      <c r="E93" s="7">
        <v>1225.8599999999999</v>
      </c>
      <c r="F93" s="7">
        <v>1229.22</v>
      </c>
      <c r="G93" s="7">
        <v>1230.8800000000001</v>
      </c>
      <c r="H93" s="7">
        <v>1232.33</v>
      </c>
      <c r="I93" s="7">
        <v>1242.8</v>
      </c>
      <c r="J93" s="7">
        <v>1248.47</v>
      </c>
      <c r="K93" s="7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B862C13A-411C-4104-B380-E1E5F6867945}"/>
  </hyperlinks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Guntur, Kruthi</dc:creator>
  <cp:lastModifiedBy>Guntur Pushya</cp:lastModifiedBy>
  <dcterms:created xsi:type="dcterms:W3CDTF">2026-04-08T09:43:18Z</dcterms:created>
  <dcterms:modified xsi:type="dcterms:W3CDTF">2026-04-11T06:12:30Z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f753fd-faf2-4608-9b59-553f003adcdf_Enabled">
    <vt:lpwstr>true</vt:lpwstr>
  </property>
  <property fmtid="{D5CDD505-2E9C-101B-9397-08002B2CF9AE}" pid="3" name="MSIP_Label_2ff753fd-faf2-4608-9b59-553f003adcdf_SetDate">
    <vt:lpwstr>2026-04-11T06:12:27Z</vt:lpwstr>
  </property>
  <property fmtid="{D5CDD505-2E9C-101B-9397-08002B2CF9AE}" pid="4" name="MSIP_Label_2ff753fd-faf2-4608-9b59-553f003adcdf_Method">
    <vt:lpwstr>Privileged</vt:lpwstr>
  </property>
  <property fmtid="{D5CDD505-2E9C-101B-9397-08002B2CF9AE}" pid="5" name="MSIP_Label_2ff753fd-faf2-4608-9b59-553f003adcdf_Name">
    <vt:lpwstr>2ff753fd-faf2-4608-9b59-553f003adcdf</vt:lpwstr>
  </property>
  <property fmtid="{D5CDD505-2E9C-101B-9397-08002B2CF9AE}" pid="6" name="MSIP_Label_2ff753fd-faf2-4608-9b59-553f003adcdf_SiteId">
    <vt:lpwstr>49618402-6ea3-441d-957d-7df8773fee54</vt:lpwstr>
  </property>
  <property fmtid="{D5CDD505-2E9C-101B-9397-08002B2CF9AE}" pid="7" name="MSIP_Label_2ff753fd-faf2-4608-9b59-553f003adcdf_ActionId">
    <vt:lpwstr>e616f065-2f44-4a7e-b6e2-e546b2054a2e</vt:lpwstr>
  </property>
  <property fmtid="{D5CDD505-2E9C-101B-9397-08002B2CF9AE}" pid="8" name="MSIP_Label_2ff753fd-faf2-4608-9b59-553f003adcdf_ContentBits">
    <vt:lpwstr>0</vt:lpwstr>
  </property>
  <property fmtid="{D5CDD505-2E9C-101B-9397-08002B2CF9AE}" pid="9" name="MSIP_Label_2ff753fd-faf2-4608-9b59-553f003adcdf_Tag">
    <vt:lpwstr>10, 0, 1, 1</vt:lpwstr>
  </property>
</Properties>
</file>